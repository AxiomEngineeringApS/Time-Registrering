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s203591_dtu_dk/Documents/Virksomhed/Tolderlund/Time-Registrering/"/>
    </mc:Choice>
  </mc:AlternateContent>
  <xr:revisionPtr revIDLastSave="151" documentId="8_{D5024EA8-CA12-4979-A499-BBF41D20E830}" xr6:coauthVersionLast="47" xr6:coauthVersionMax="47" xr10:uidLastSave="{943AED32-48D7-4F16-93E0-A774743D6204}"/>
  <bookViews>
    <workbookView xWindow="10290" yWindow="2865" windowWidth="22875" windowHeight="15345" xr2:uid="{38E477F2-BF6E-43E2-B308-6D31204D4F28}"/>
  </bookViews>
  <sheets>
    <sheet name="Østerbrogade 15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A38" i="1"/>
  <c r="E28" i="1"/>
  <c r="E29" i="1" s="1"/>
  <c r="E30" i="1" s="1"/>
  <c r="E31" i="1" s="1"/>
  <c r="E33" i="1" s="1"/>
  <c r="E2" i="1"/>
  <c r="E3" i="1" s="1"/>
  <c r="E4" i="1" s="1"/>
  <c r="E5" i="1" l="1"/>
  <c r="E6" i="1" l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5" i="1" s="1"/>
  <c r="E26" i="1" s="1"/>
  <c r="E27" i="1" s="1"/>
  <c r="D24" i="1"/>
  <c r="D32" i="1"/>
  <c r="E34" i="1"/>
  <c r="E35" i="1" s="1"/>
  <c r="D36" i="1" l="1"/>
</calcChain>
</file>

<file path=xl/sharedStrings.xml><?xml version="1.0" encoding="utf-8"?>
<sst xmlns="http://schemas.openxmlformats.org/spreadsheetml/2006/main" count="77" uniqueCount="62">
  <si>
    <t>dato</t>
  </si>
  <si>
    <t>Tid</t>
  </si>
  <si>
    <t>timer</t>
  </si>
  <si>
    <t>min</t>
  </si>
  <si>
    <t>sum i T</t>
  </si>
  <si>
    <t>Note</t>
  </si>
  <si>
    <t>18-19:00</t>
  </si>
  <si>
    <t>Møde plus noter til møde</t>
  </si>
  <si>
    <t>8:15-13:00</t>
  </si>
  <si>
    <t>Activate license, se tegningsmateriale, sammenlign tegninger, overblik + statisk system</t>
  </si>
  <si>
    <t>9:00-13:15</t>
  </si>
  <si>
    <t>Tegningsmateriale + opstilling af FEM-model</t>
  </si>
  <si>
    <t>12-14:00</t>
  </si>
  <si>
    <t>FEM-model - modellering af tagkonstruktion</t>
  </si>
  <si>
    <t>14:30-19:00</t>
  </si>
  <si>
    <t>10:45-12:30</t>
  </si>
  <si>
    <t>FEM-model - start lastkombinationer</t>
  </si>
  <si>
    <t>(15-30)-01</t>
  </si>
  <si>
    <t>-</t>
  </si>
  <si>
    <t>Ferie i Afrika, start virksomhed, hjælp Nadia med bachelor</t>
  </si>
  <si>
    <t>9:30-13:00</t>
  </si>
  <si>
    <t>FEM-model - tilføj bjælkelag + lastkombinationer</t>
  </si>
  <si>
    <t>14:30-17:00</t>
  </si>
  <si>
    <t>9:00-14:00</t>
  </si>
  <si>
    <t>Opdatering af FEM-model, opdater cladding til vindzoner, start bestemmelse af formfaktor, lave Python-script til at omsætte Excel-reaktionsdata fra FEM-model til linjelaster i de relevante områder</t>
  </si>
  <si>
    <t>14:14-15:15</t>
  </si>
  <si>
    <t>16:00-18:45</t>
  </si>
  <si>
    <t>9:00-12:00</t>
  </si>
  <si>
    <t>Færdig bestemmelse af formfaktor (ud fra vinkelrange +/- ~5 grader) givet usikkerheden mellem arkitekttegninger og samlet tegningsmateriale, opdater tværsnitsdimensioner, lave de rene vindlasttilfælde for max sug og max tryk</t>
  </si>
  <si>
    <t>14:45-15:45</t>
  </si>
  <si>
    <t>10:45-14:30</t>
  </si>
  <si>
    <t>Lastkombinationer</t>
  </si>
  <si>
    <t>18:30-20:00</t>
  </si>
  <si>
    <t>Møde + noter efter (Model 2)</t>
  </si>
  <si>
    <t>17:00-19:00</t>
  </si>
  <si>
    <t>Model 2 - geometri</t>
  </si>
  <si>
    <t>20:20-21:20</t>
  </si>
  <si>
    <t>9:15-12:45</t>
  </si>
  <si>
    <t>13:00-15:00</t>
  </si>
  <si>
    <t>17:15-18:30</t>
  </si>
  <si>
    <t>Sum timer:</t>
  </si>
  <si>
    <t>18:30-20:30</t>
  </si>
  <si>
    <t>Klargøring af spørgsmål til møde, Møde, Noter efter møde</t>
  </si>
  <si>
    <t xml:space="preserve">lastkombinationer + Møde kommentar </t>
  </si>
  <si>
    <t>tidsregistrering system</t>
  </si>
  <si>
    <t>6:45-8:30</t>
  </si>
  <si>
    <t>uge 10:</t>
  </si>
  <si>
    <t>8:30-11:30</t>
  </si>
  <si>
    <t>12:30-13:45</t>
  </si>
  <si>
    <t>14:15-16:15</t>
  </si>
  <si>
    <t>lastkombinationer + Møde kommentar + Data analyse</t>
  </si>
  <si>
    <t>16.30-18:00</t>
  </si>
  <si>
    <t>Data Analyse + sammenligning af de 2 FEM modeler</t>
  </si>
  <si>
    <t>07:15-10:30</t>
  </si>
  <si>
    <t>uge 11:</t>
  </si>
  <si>
    <t>10:45-14:45</t>
  </si>
  <si>
    <t>kontrol + Fix fejl i model 1 og 2</t>
  </si>
  <si>
    <t>kontrol + Fix fejl i model 1 og 2 + Data Analyse + Formidling</t>
  </si>
  <si>
    <t>17:00-19:15</t>
  </si>
  <si>
    <t>8:00-10:00</t>
  </si>
  <si>
    <t>implementer kommentar fra patrik start fix cladding</t>
  </si>
  <si>
    <t>Sum tid: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</si>
</sst>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16" fontId="16" fillId="33" borderId="0" xfId="0" applyNumberFormat="1" applyFont="1" applyFill="1"/>
    <xf numFmtId="0" fontId="16" fillId="33" borderId="0" xfId="0" applyFont="1" applyFill="1"/>
    <xf numFmtId="20" fontId="0" fillId="0" borderId="0" xfId="0" applyNumberFormat="1"/>
    <xf numFmtId="0" fontId="0" fillId="33" borderId="0" xfId="0" applyFill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46C8-46D8-43DF-AD47-30D3AE2670C9}">
  <dimension ref="A1:F38"/>
  <sheetViews>
    <sheetView tabSelected="1" topLeftCell="A7" workbookViewId="0">
      <selection activeCell="S30" sqref="S3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46029</v>
      </c>
      <c r="B2" t="s">
        <v>6</v>
      </c>
      <c r="C2">
        <v>1</v>
      </c>
      <c r="D2">
        <v>0</v>
      </c>
      <c r="E2">
        <f>C2+D2/60</f>
        <v>1</v>
      </c>
      <c r="F2" t="s">
        <v>7</v>
      </c>
    </row>
    <row r="3" spans="1:6" x14ac:dyDescent="0.25">
      <c r="A3" s="1">
        <v>46030</v>
      </c>
      <c r="B3" t="s">
        <v>8</v>
      </c>
      <c r="C3">
        <v>5</v>
      </c>
      <c r="D3">
        <v>15</v>
      </c>
      <c r="E3">
        <f>C3+D3/60+E2</f>
        <v>6.25</v>
      </c>
      <c r="F3" t="s">
        <v>9</v>
      </c>
    </row>
    <row r="4" spans="1:6" x14ac:dyDescent="0.25">
      <c r="A4" s="1">
        <v>46031</v>
      </c>
      <c r="B4" t="s">
        <v>10</v>
      </c>
      <c r="C4">
        <v>4</v>
      </c>
      <c r="D4">
        <v>15</v>
      </c>
      <c r="E4">
        <f t="shared" ref="E4:E23" si="0">C4+D4/60+E3</f>
        <v>10.5</v>
      </c>
      <c r="F4" t="s">
        <v>11</v>
      </c>
    </row>
    <row r="5" spans="1:6" x14ac:dyDescent="0.25">
      <c r="A5" s="1">
        <v>46034</v>
      </c>
      <c r="B5" t="s">
        <v>12</v>
      </c>
      <c r="C5">
        <v>2</v>
      </c>
      <c r="D5">
        <v>0</v>
      </c>
      <c r="E5">
        <f t="shared" si="0"/>
        <v>12.5</v>
      </c>
      <c r="F5" t="s">
        <v>13</v>
      </c>
    </row>
    <row r="6" spans="1:6" x14ac:dyDescent="0.25">
      <c r="A6" s="1">
        <v>46035</v>
      </c>
      <c r="B6" t="s">
        <v>14</v>
      </c>
      <c r="C6">
        <v>4</v>
      </c>
      <c r="D6">
        <v>30</v>
      </c>
      <c r="E6">
        <f t="shared" si="0"/>
        <v>17</v>
      </c>
      <c r="F6" t="s">
        <v>13</v>
      </c>
    </row>
    <row r="7" spans="1:6" x14ac:dyDescent="0.25">
      <c r="A7" s="1">
        <v>46036</v>
      </c>
      <c r="B7" t="s">
        <v>15</v>
      </c>
      <c r="C7">
        <v>1</v>
      </c>
      <c r="D7">
        <v>15</v>
      </c>
      <c r="E7">
        <f t="shared" si="0"/>
        <v>18.25</v>
      </c>
      <c r="F7" t="s">
        <v>16</v>
      </c>
    </row>
    <row r="8" spans="1:6" x14ac:dyDescent="0.25">
      <c r="A8" t="s">
        <v>17</v>
      </c>
      <c r="B8" t="s">
        <v>18</v>
      </c>
      <c r="C8">
        <v>0</v>
      </c>
      <c r="D8">
        <v>0</v>
      </c>
      <c r="E8">
        <f t="shared" si="0"/>
        <v>18.25</v>
      </c>
      <c r="F8" t="s">
        <v>19</v>
      </c>
    </row>
    <row r="9" spans="1:6" x14ac:dyDescent="0.25">
      <c r="A9" s="1">
        <v>46053</v>
      </c>
      <c r="B9" t="s">
        <v>20</v>
      </c>
      <c r="C9">
        <v>3</v>
      </c>
      <c r="D9">
        <v>30</v>
      </c>
      <c r="E9">
        <f t="shared" si="0"/>
        <v>21.75</v>
      </c>
      <c r="F9" t="s">
        <v>21</v>
      </c>
    </row>
    <row r="10" spans="1:6" x14ac:dyDescent="0.25">
      <c r="A10" s="1">
        <v>46053</v>
      </c>
      <c r="B10" t="s">
        <v>22</v>
      </c>
      <c r="C10">
        <v>2</v>
      </c>
      <c r="D10">
        <v>30</v>
      </c>
      <c r="E10">
        <f t="shared" si="0"/>
        <v>24.25</v>
      </c>
      <c r="F10" t="s">
        <v>21</v>
      </c>
    </row>
    <row r="11" spans="1:6" x14ac:dyDescent="0.25">
      <c r="A11" s="1">
        <v>46058</v>
      </c>
      <c r="B11" t="s">
        <v>23</v>
      </c>
      <c r="C11">
        <v>5</v>
      </c>
      <c r="D11">
        <v>0</v>
      </c>
      <c r="E11">
        <f t="shared" si="0"/>
        <v>29.25</v>
      </c>
      <c r="F11" t="s">
        <v>24</v>
      </c>
    </row>
    <row r="12" spans="1:6" x14ac:dyDescent="0.25">
      <c r="A12" s="1">
        <v>46058</v>
      </c>
      <c r="B12" t="s">
        <v>25</v>
      </c>
      <c r="C12">
        <v>1</v>
      </c>
      <c r="D12">
        <v>0</v>
      </c>
      <c r="E12">
        <f t="shared" si="0"/>
        <v>30.25</v>
      </c>
      <c r="F12" t="s">
        <v>24</v>
      </c>
    </row>
    <row r="13" spans="1:6" x14ac:dyDescent="0.25">
      <c r="A13" s="1">
        <v>46058</v>
      </c>
      <c r="B13" t="s">
        <v>26</v>
      </c>
      <c r="C13">
        <v>2</v>
      </c>
      <c r="D13">
        <v>45</v>
      </c>
      <c r="E13">
        <f t="shared" si="0"/>
        <v>33</v>
      </c>
      <c r="F13" t="s">
        <v>24</v>
      </c>
    </row>
    <row r="14" spans="1:6" x14ac:dyDescent="0.25">
      <c r="A14" s="1">
        <v>46059</v>
      </c>
      <c r="B14" t="s">
        <v>27</v>
      </c>
      <c r="C14">
        <v>3</v>
      </c>
      <c r="D14">
        <v>0</v>
      </c>
      <c r="E14">
        <f t="shared" si="0"/>
        <v>36</v>
      </c>
      <c r="F14" t="s">
        <v>28</v>
      </c>
    </row>
    <row r="15" spans="1:6" x14ac:dyDescent="0.25">
      <c r="A15" s="1">
        <v>46059</v>
      </c>
      <c r="B15" t="s">
        <v>29</v>
      </c>
      <c r="C15">
        <v>1</v>
      </c>
      <c r="D15">
        <v>0</v>
      </c>
      <c r="E15">
        <f t="shared" si="0"/>
        <v>37</v>
      </c>
      <c r="F15" t="s">
        <v>28</v>
      </c>
    </row>
    <row r="16" spans="1:6" x14ac:dyDescent="0.25">
      <c r="A16" s="1">
        <v>46063</v>
      </c>
      <c r="B16" t="s">
        <v>30</v>
      </c>
      <c r="C16">
        <v>3</v>
      </c>
      <c r="D16">
        <v>45</v>
      </c>
      <c r="E16">
        <f t="shared" si="0"/>
        <v>40.75</v>
      </c>
      <c r="F16" t="s">
        <v>31</v>
      </c>
    </row>
    <row r="17" spans="1:6" x14ac:dyDescent="0.25">
      <c r="A17" s="1">
        <v>46063</v>
      </c>
      <c r="B17" t="s">
        <v>32</v>
      </c>
      <c r="C17">
        <v>1</v>
      </c>
      <c r="D17">
        <v>30</v>
      </c>
      <c r="E17">
        <f t="shared" si="0"/>
        <v>42.25</v>
      </c>
      <c r="F17" t="s">
        <v>31</v>
      </c>
    </row>
    <row r="18" spans="1:6" x14ac:dyDescent="0.25">
      <c r="A18" s="1">
        <v>46064</v>
      </c>
      <c r="B18" t="s">
        <v>18</v>
      </c>
      <c r="C18">
        <v>0</v>
      </c>
      <c r="D18">
        <v>45</v>
      </c>
      <c r="E18">
        <f t="shared" si="0"/>
        <v>43</v>
      </c>
      <c r="F18" t="s">
        <v>33</v>
      </c>
    </row>
    <row r="19" spans="1:6" x14ac:dyDescent="0.25">
      <c r="A19" s="1">
        <v>46073</v>
      </c>
      <c r="B19" t="s">
        <v>34</v>
      </c>
      <c r="C19">
        <v>2</v>
      </c>
      <c r="D19">
        <v>0</v>
      </c>
      <c r="E19">
        <f t="shared" si="0"/>
        <v>45</v>
      </c>
      <c r="F19" t="s">
        <v>35</v>
      </c>
    </row>
    <row r="20" spans="1:6" x14ac:dyDescent="0.25">
      <c r="A20" s="1">
        <v>46073</v>
      </c>
      <c r="B20" t="s">
        <v>36</v>
      </c>
      <c r="C20">
        <v>1</v>
      </c>
      <c r="D20">
        <v>0</v>
      </c>
      <c r="E20">
        <f t="shared" si="0"/>
        <v>46</v>
      </c>
      <c r="F20" t="s">
        <v>35</v>
      </c>
    </row>
    <row r="21" spans="1:6" x14ac:dyDescent="0.25">
      <c r="A21" s="1">
        <v>46076</v>
      </c>
      <c r="B21" t="s">
        <v>37</v>
      </c>
      <c r="C21">
        <v>3</v>
      </c>
      <c r="D21">
        <v>45</v>
      </c>
      <c r="E21">
        <f t="shared" si="0"/>
        <v>49.75</v>
      </c>
      <c r="F21" t="s">
        <v>35</v>
      </c>
    </row>
    <row r="22" spans="1:6" x14ac:dyDescent="0.25">
      <c r="A22" s="1">
        <v>46076</v>
      </c>
      <c r="B22" t="s">
        <v>38</v>
      </c>
      <c r="C22">
        <v>2</v>
      </c>
      <c r="D22">
        <v>0</v>
      </c>
      <c r="E22">
        <f t="shared" si="0"/>
        <v>51.75</v>
      </c>
      <c r="F22" t="s">
        <v>35</v>
      </c>
    </row>
    <row r="23" spans="1:6" x14ac:dyDescent="0.25">
      <c r="A23" s="1">
        <v>46076</v>
      </c>
      <c r="B23" t="s">
        <v>39</v>
      </c>
      <c r="C23">
        <v>1</v>
      </c>
      <c r="D23">
        <v>15</v>
      </c>
      <c r="E23">
        <f t="shared" si="0"/>
        <v>53</v>
      </c>
      <c r="F23" t="s">
        <v>35</v>
      </c>
    </row>
    <row r="24" spans="1:6" x14ac:dyDescent="0.25">
      <c r="A24" s="2">
        <v>46029</v>
      </c>
      <c r="B24" s="2">
        <v>46081</v>
      </c>
      <c r="C24" s="3" t="s">
        <v>40</v>
      </c>
      <c r="D24" s="3">
        <f>MAX(E2:E23)</f>
        <v>53</v>
      </c>
    </row>
    <row r="25" spans="1:6" x14ac:dyDescent="0.25">
      <c r="A25" s="1">
        <v>46084</v>
      </c>
      <c r="B25" t="s">
        <v>45</v>
      </c>
      <c r="C25">
        <v>0</v>
      </c>
      <c r="D25">
        <v>30</v>
      </c>
      <c r="E25">
        <f>C25+D25/60+E23</f>
        <v>53.5</v>
      </c>
      <c r="F25" t="s">
        <v>44</v>
      </c>
    </row>
    <row r="26" spans="1:6" x14ac:dyDescent="0.25">
      <c r="A26" s="1">
        <v>46084</v>
      </c>
      <c r="B26" t="s">
        <v>41</v>
      </c>
      <c r="C26">
        <v>2</v>
      </c>
      <c r="D26">
        <v>0</v>
      </c>
      <c r="E26">
        <f>C26+D26/60+E25</f>
        <v>55.5</v>
      </c>
      <c r="F26" t="s">
        <v>42</v>
      </c>
    </row>
    <row r="27" spans="1:6" x14ac:dyDescent="0.25">
      <c r="A27" s="1">
        <v>46086</v>
      </c>
      <c r="B27" s="4" t="s">
        <v>47</v>
      </c>
      <c r="C27">
        <v>3</v>
      </c>
      <c r="D27">
        <v>0</v>
      </c>
      <c r="E27">
        <f>C27+D27/60+E26</f>
        <v>58.5</v>
      </c>
      <c r="F27" t="s">
        <v>43</v>
      </c>
    </row>
    <row r="28" spans="1:6" x14ac:dyDescent="0.25">
      <c r="A28" s="1">
        <v>46086</v>
      </c>
      <c r="B28" t="s">
        <v>48</v>
      </c>
      <c r="C28">
        <v>0</v>
      </c>
      <c r="D28">
        <v>45</v>
      </c>
      <c r="E28">
        <f t="shared" ref="E28:E35" si="1">C28+D28/60+E27</f>
        <v>59.25</v>
      </c>
      <c r="F28" t="s">
        <v>43</v>
      </c>
    </row>
    <row r="29" spans="1:6" x14ac:dyDescent="0.25">
      <c r="A29" s="1">
        <v>46086</v>
      </c>
      <c r="B29" t="s">
        <v>49</v>
      </c>
      <c r="C29">
        <v>2</v>
      </c>
      <c r="D29">
        <v>0</v>
      </c>
      <c r="E29">
        <f t="shared" si="1"/>
        <v>61.25</v>
      </c>
      <c r="F29" t="s">
        <v>43</v>
      </c>
    </row>
    <row r="30" spans="1:6" x14ac:dyDescent="0.25">
      <c r="A30" s="1">
        <v>46086</v>
      </c>
      <c r="B30" s="4" t="s">
        <v>51</v>
      </c>
      <c r="C30">
        <v>1</v>
      </c>
      <c r="D30">
        <v>30</v>
      </c>
      <c r="E30">
        <f t="shared" si="1"/>
        <v>62.75</v>
      </c>
      <c r="F30" t="s">
        <v>50</v>
      </c>
    </row>
    <row r="31" spans="1:6" x14ac:dyDescent="0.25">
      <c r="A31" s="1">
        <v>46087</v>
      </c>
      <c r="B31" s="4" t="s">
        <v>53</v>
      </c>
      <c r="C31">
        <v>3</v>
      </c>
      <c r="D31">
        <v>15</v>
      </c>
      <c r="E31">
        <f t="shared" si="1"/>
        <v>66</v>
      </c>
      <c r="F31" t="s">
        <v>52</v>
      </c>
    </row>
    <row r="32" spans="1:6" x14ac:dyDescent="0.25">
      <c r="A32" s="5" t="s">
        <v>46</v>
      </c>
      <c r="B32" s="5"/>
      <c r="C32" s="5" t="s">
        <v>2</v>
      </c>
      <c r="D32" s="3">
        <f>MAX(E25:E32)-$D$24</f>
        <v>13</v>
      </c>
    </row>
    <row r="33" spans="1:6" x14ac:dyDescent="0.25">
      <c r="A33" s="1">
        <v>46090</v>
      </c>
      <c r="B33" t="s">
        <v>55</v>
      </c>
      <c r="C33">
        <v>4</v>
      </c>
      <c r="D33">
        <v>0</v>
      </c>
      <c r="E33">
        <f>C33+D33/60+E31</f>
        <v>70</v>
      </c>
      <c r="F33" t="s">
        <v>56</v>
      </c>
    </row>
    <row r="34" spans="1:6" x14ac:dyDescent="0.25">
      <c r="A34" s="1">
        <v>46090</v>
      </c>
      <c r="B34" t="s">
        <v>58</v>
      </c>
      <c r="C34">
        <v>2</v>
      </c>
      <c r="D34">
        <v>15</v>
      </c>
      <c r="E34">
        <f t="shared" si="1"/>
        <v>72.25</v>
      </c>
      <c r="F34" t="s">
        <v>57</v>
      </c>
    </row>
    <row r="35" spans="1:6" x14ac:dyDescent="0.25">
      <c r="A35" s="1">
        <v>13</v>
      </c>
      <c r="B35" t="s">
        <v>59</v>
      </c>
      <c r="C35">
        <v>2</v>
      </c>
      <c r="D35">
        <v>0</v>
      </c>
      <c r="E35">
        <f t="shared" si="1"/>
        <v>74.25</v>
      </c>
      <c r="F35" t="s">
        <v>60</v>
      </c>
    </row>
    <row r="36" spans="1:6" x14ac:dyDescent="0.25">
      <c r="A36" s="5" t="s">
        <v>54</v>
      </c>
      <c r="B36" s="5"/>
      <c r="C36" s="5" t="s">
        <v>2</v>
      </c>
      <c r="D36" s="3">
        <f>MAX(E33:E40)-$D$24-D32</f>
        <v>8.25</v>
      </c>
    </row>
    <row r="38" spans="1:6" x14ac:dyDescent="0.25">
      <c r="A38" s="2">
        <f>A24</f>
        <v>46029</v>
      </c>
      <c r="B38" s="2">
        <v>46099</v>
      </c>
      <c r="C38" s="3" t="s">
        <v>61</v>
      </c>
      <c r="D38" s="3">
        <f>D36+D32+D24</f>
        <v>74.25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Østerbrogade 156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Thyge Lu</dc:creator>
  <cp:lastModifiedBy>Thyge Vinther Ludvigsen</cp:lastModifiedBy>
  <dcterms:created xsi:type="dcterms:W3CDTF">2026-03-03T07:46:56Z</dcterms:created>
  <dcterms:modified xsi:type="dcterms:W3CDTF">2026-03-20T08:16:42Z</dcterms:modified>
</cp:coreProperties>
</file>